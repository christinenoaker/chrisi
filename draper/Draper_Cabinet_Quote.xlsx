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 Quote" sheetId="1" state="visible" r:id="rId1"/>
    <sheet xmlns:r="http://schemas.openxmlformats.org/officeDocument/2006/relationships" name="Before Ord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F3A3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6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8" customWidth="1" min="4" max="4"/>
    <col width="6" customWidth="1" min="5" max="5"/>
    <col width="26" customWidth="1" min="6" max="6"/>
    <col width="11" customWidth="1" min="7" max="7"/>
    <col width="4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DRAPER RESIDENCE - CABINET QUOTE WORKSHEET</t>
        </is>
      </c>
    </row>
    <row r="2">
      <c r="A2" t="inlineStr">
        <is>
          <t>8794 Pine Barrens Dr, Orlando FL 32817  |  Job WORL8794PBD  |  Source: Draper residence presentation 09.14.26_c + Draper Master Spec Sheet</t>
        </is>
      </c>
    </row>
    <row r="3">
      <c r="A3" s="2" t="inlineStr">
        <is>
          <t>Enter UNIT price from each pro account; extended totals calculate. Orange = SKU not confirmed in PDF (verify before ordering). Yellow = inferred from elevation.</t>
        </is>
      </c>
    </row>
    <row r="5">
      <c r="A5" s="3" t="inlineStr">
        <is>
          <t>Room</t>
        </is>
      </c>
      <c r="B5" s="3" t="inlineStr">
        <is>
          <t>Run</t>
        </is>
      </c>
      <c r="C5" s="3" t="inlineStr">
        <is>
          <t>SKU / Plan Label</t>
        </is>
      </c>
      <c r="D5" s="3" t="inlineStr">
        <is>
          <t>Description</t>
        </is>
      </c>
      <c r="E5" s="3" t="inlineStr">
        <is>
          <t>Qty</t>
        </is>
      </c>
      <c r="F5" s="3" t="inlineStr">
        <is>
          <t>Door Style / Finish</t>
        </is>
      </c>
      <c r="G5" s="3" t="inlineStr">
        <is>
          <t>Confidence</t>
        </is>
      </c>
      <c r="H5" s="3" t="inlineStr">
        <is>
          <t>Notes</t>
        </is>
      </c>
      <c r="I5" s="3" t="inlineStr">
        <is>
          <t>Pro Kitchen Unit $</t>
        </is>
      </c>
      <c r="J5" s="3" t="inlineStr">
        <is>
          <t>Pro Kitchen Ext $</t>
        </is>
      </c>
      <c r="K5" s="3" t="inlineStr">
        <is>
          <t>KCD Unit $</t>
        </is>
      </c>
      <c r="L5" s="3" t="inlineStr">
        <is>
          <t>KCD Ext $</t>
        </is>
      </c>
      <c r="M5" s="3" t="inlineStr">
        <is>
          <t>Designer's Choice Unit $</t>
        </is>
      </c>
      <c r="N5" s="3" t="inlineStr">
        <is>
          <t>Designer's Choice Ext $</t>
        </is>
      </c>
    </row>
    <row r="6">
      <c r="A6" s="4" t="inlineStr">
        <is>
          <t>Kitchen</t>
        </is>
      </c>
      <c r="B6" s="4" t="inlineStr">
        <is>
          <t>Island (inside)</t>
        </is>
      </c>
      <c r="C6" s="4" t="inlineStr">
        <is>
          <t>B3D18</t>
        </is>
      </c>
      <c r="D6" s="4" t="inlineStr">
        <is>
          <t>Base 3-drawer 18"W</t>
        </is>
      </c>
      <c r="E6" s="4" t="n">
        <v>1</v>
      </c>
      <c r="F6" s="4" t="inlineStr">
        <is>
          <t>Sun Valley Maple Brownie</t>
        </is>
      </c>
      <c r="G6" s="4" t="inlineStr">
        <is>
          <t>High</t>
        </is>
      </c>
      <c r="H6" s="4" t="inlineStr">
        <is>
          <t>Inside island elevation, left end</t>
        </is>
      </c>
      <c r="I6" s="5" t="n"/>
      <c r="J6" s="5">
        <f>IF(I6="","",I6*E6)</f>
        <v/>
      </c>
      <c r="K6" s="5" t="n"/>
      <c r="L6" s="5">
        <f>IF(K6="","",K6*E6)</f>
        <v/>
      </c>
      <c r="M6" s="5" t="n"/>
      <c r="N6" s="5">
        <f>IF(M6="","",M6*E6)</f>
        <v/>
      </c>
    </row>
    <row r="7">
      <c r="A7" s="4" t="inlineStr">
        <is>
          <t>Kitchen</t>
        </is>
      </c>
      <c r="B7" s="4" t="inlineStr">
        <is>
          <t>Island (inside)</t>
        </is>
      </c>
      <c r="C7" s="6" t="inlineStr">
        <is>
          <t>TRB-2 / B18 trash</t>
        </is>
      </c>
      <c r="D7" s="4" t="inlineStr">
        <is>
          <t>Base 18"W single door (double trash pull-out)</t>
        </is>
      </c>
      <c r="E7" s="4" t="n">
        <v>1</v>
      </c>
      <c r="F7" s="4" t="inlineStr">
        <is>
          <t>Sun Valley Maple Brownie</t>
        </is>
      </c>
      <c r="G7" s="6" t="inlineStr">
        <is>
          <t>Medium</t>
        </is>
      </c>
      <c r="H7" s="4" t="inlineStr">
        <is>
          <t>Plan label TRB-2; confirm trash pull-out kit is included or add separately</t>
        </is>
      </c>
      <c r="I7" s="5" t="n"/>
      <c r="J7" s="5">
        <f>IF(I7="","",I7*E7)</f>
        <v/>
      </c>
      <c r="K7" s="5" t="n"/>
      <c r="L7" s="5">
        <f>IF(K7="","",K7*E7)</f>
        <v/>
      </c>
      <c r="M7" s="5" t="n"/>
      <c r="N7" s="5">
        <f>IF(M7="","",M7*E7)</f>
        <v/>
      </c>
    </row>
    <row r="8">
      <c r="A8" s="4" t="inlineStr">
        <is>
          <t>Kitchen</t>
        </is>
      </c>
      <c r="B8" s="4" t="inlineStr">
        <is>
          <t>Island (inside)</t>
        </is>
      </c>
      <c r="C8" s="4" t="inlineStr">
        <is>
          <t>BS36</t>
        </is>
      </c>
      <c r="D8" s="4" t="inlineStr">
        <is>
          <t>Sink base 36"W</t>
        </is>
      </c>
      <c r="E8" s="4" t="n">
        <v>1</v>
      </c>
      <c r="F8" s="4" t="inlineStr">
        <is>
          <t>Sun Valley Maple Brownie</t>
        </is>
      </c>
      <c r="G8" s="4" t="inlineStr">
        <is>
          <t>High</t>
        </is>
      </c>
      <c r="H8" s="4" t="inlineStr">
        <is>
          <t>Sink TBD (Blanco 33-1/2" undermount per spec sheet)</t>
        </is>
      </c>
      <c r="I8" s="5" t="n"/>
      <c r="J8" s="5">
        <f>IF(I8="","",I8*E8)</f>
        <v/>
      </c>
      <c r="K8" s="5" t="n"/>
      <c r="L8" s="5">
        <f>IF(K8="","",K8*E8)</f>
        <v/>
      </c>
      <c r="M8" s="5" t="n"/>
      <c r="N8" s="5">
        <f>IF(M8="","",M8*E8)</f>
        <v/>
      </c>
    </row>
    <row r="9">
      <c r="A9" s="4" t="inlineStr">
        <is>
          <t>Kitchen</t>
        </is>
      </c>
      <c r="B9" s="4" t="inlineStr">
        <is>
          <t>Island (inside)</t>
        </is>
      </c>
      <c r="C9" s="4" t="inlineStr">
        <is>
          <t>DW opening</t>
        </is>
      </c>
      <c r="D9" s="4" t="inlineStr">
        <is>
          <t>Dishwasher opening 23-3/4" (Bosch SHP9PCM5N)</t>
        </is>
      </c>
      <c r="E9" s="4" t="n">
        <v>1</v>
      </c>
      <c r="F9" s="4" t="inlineStr">
        <is>
          <t>N/A</t>
        </is>
      </c>
      <c r="G9" s="4" t="inlineStr">
        <is>
          <t>High</t>
        </is>
      </c>
      <c r="H9" s="4" t="inlineStr">
        <is>
          <t>No cabinet; panel-ready? confirm if DW panel needed</t>
        </is>
      </c>
      <c r="I9" s="5" t="n"/>
      <c r="J9" s="5">
        <f>IF(I9="","",I9*E9)</f>
        <v/>
      </c>
      <c r="K9" s="5" t="n"/>
      <c r="L9" s="5">
        <f>IF(K9="","",K9*E9)</f>
        <v/>
      </c>
      <c r="M9" s="5" t="n"/>
      <c r="N9" s="5">
        <f>IF(M9="","",M9*E9)</f>
        <v/>
      </c>
    </row>
    <row r="10">
      <c r="A10" s="4" t="inlineStr">
        <is>
          <t>Kitchen</t>
        </is>
      </c>
      <c r="B10" s="4" t="inlineStr">
        <is>
          <t>Island (inside)</t>
        </is>
      </c>
      <c r="C10" s="4" t="inlineStr">
        <is>
          <t>B3D24</t>
        </is>
      </c>
      <c r="D10" s="4" t="inlineStr">
        <is>
          <t>Base 3-drawer 24"W</t>
        </is>
      </c>
      <c r="E10" s="4" t="n">
        <v>1</v>
      </c>
      <c r="F10" s="4" t="inlineStr">
        <is>
          <t>Sun Valley Maple Brownie</t>
        </is>
      </c>
      <c r="G10" s="4" t="inlineStr">
        <is>
          <t>High</t>
        </is>
      </c>
      <c r="H10" s="4" t="inlineStr">
        <is>
          <t>Inside island elevation, right end</t>
        </is>
      </c>
      <c r="I10" s="5" t="n"/>
      <c r="J10" s="5">
        <f>IF(I10="","",I10*E10)</f>
        <v/>
      </c>
      <c r="K10" s="5" t="n"/>
      <c r="L10" s="5">
        <f>IF(K10="","",K10*E10)</f>
        <v/>
      </c>
      <c r="M10" s="5" t="n"/>
      <c r="N10" s="5">
        <f>IF(M10="","",M10*E10)</f>
        <v/>
      </c>
    </row>
    <row r="11">
      <c r="A11" s="4" t="inlineStr">
        <is>
          <t>Kitchen</t>
        </is>
      </c>
      <c r="B11" s="4" t="inlineStr">
        <is>
          <t>Island (ends)</t>
        </is>
      </c>
      <c r="C11" s="6" t="inlineStr">
        <is>
          <t>TPOST5</t>
        </is>
      </c>
      <c r="D11" s="4" t="inlineStr">
        <is>
          <t>Turned post / island leg</t>
        </is>
      </c>
      <c r="E11" s="4" t="n">
        <v>2</v>
      </c>
      <c r="F11" s="4" t="inlineStr">
        <is>
          <t>Sun Valley Maple Brownie</t>
        </is>
      </c>
      <c r="G11" s="6" t="inlineStr">
        <is>
          <t>Medium</t>
        </is>
      </c>
      <c r="H11" s="4" t="inlineStr">
        <is>
          <t>Shown on plan at both island ends; render shows turned legs</t>
        </is>
      </c>
      <c r="I11" s="5" t="n"/>
      <c r="J11" s="5">
        <f>IF(I11="","",I11*E11)</f>
        <v/>
      </c>
      <c r="K11" s="5" t="n"/>
      <c r="L11" s="5">
        <f>IF(K11="","",K11*E11)</f>
        <v/>
      </c>
      <c r="M11" s="5" t="n"/>
      <c r="N11" s="5">
        <f>IF(M11="","",M11*E11)</f>
        <v/>
      </c>
    </row>
    <row r="12">
      <c r="A12" s="4" t="inlineStr">
        <is>
          <t>Kitchen</t>
        </is>
      </c>
      <c r="B12" s="4" t="inlineStr">
        <is>
          <t>Island (outside)</t>
        </is>
      </c>
      <c r="C12" s="6" t="inlineStr">
        <is>
          <t>Back panel / end panels</t>
        </is>
      </c>
      <c r="D12" s="4" t="inlineStr">
        <is>
          <t>Finished back panel 120-3/16" x 34-1/2" + 2 end panels</t>
        </is>
      </c>
      <c r="E12" s="4" t="n">
        <v>1</v>
      </c>
      <c r="F12" s="4" t="inlineStr">
        <is>
          <t>Sun Valley Maple Brownie</t>
        </is>
      </c>
      <c r="G12" s="6" t="inlineStr">
        <is>
          <t>Medium</t>
        </is>
      </c>
      <c r="H12" s="4" t="inlineStr">
        <is>
          <t>Outside island elevation is a plain panel; quote as skins/panels</t>
        </is>
      </c>
      <c r="I12" s="5" t="n"/>
      <c r="J12" s="5">
        <f>IF(I12="","",I12*E12)</f>
        <v/>
      </c>
      <c r="K12" s="5" t="n"/>
      <c r="L12" s="5">
        <f>IF(K12="","",K12*E12)</f>
        <v/>
      </c>
      <c r="M12" s="5" t="n"/>
      <c r="N12" s="5">
        <f>IF(M12="","",M12*E12)</f>
        <v/>
      </c>
    </row>
    <row r="13">
      <c r="A13" s="4" t="inlineStr">
        <is>
          <t>Kitchen</t>
        </is>
      </c>
      <c r="B13" s="4" t="inlineStr">
        <is>
          <t>Island (end)</t>
        </is>
      </c>
      <c r="C13" s="7" t="inlineStr">
        <is>
          <t>18-RV18PB</t>
        </is>
      </c>
      <c r="D13" s="4" t="inlineStr">
        <is>
          <t>18" end unit (label partly cut off on plan)</t>
        </is>
      </c>
      <c r="E13" s="4" t="n">
        <v>1</v>
      </c>
      <c r="F13" s="4" t="inlineStr">
        <is>
          <t>Sun Valley Maple Brownie</t>
        </is>
      </c>
      <c r="G13" s="7" t="inlineStr">
        <is>
          <t>Low</t>
        </is>
      </c>
      <c r="H13" s="4" t="inlineStr">
        <is>
          <t>Label cut off in PDF - confirm SKU with plan designer</t>
        </is>
      </c>
      <c r="I13" s="5" t="n"/>
      <c r="J13" s="5">
        <f>IF(I13="","",I13*E13)</f>
        <v/>
      </c>
      <c r="K13" s="5" t="n"/>
      <c r="L13" s="5">
        <f>IF(K13="","",K13*E13)</f>
        <v/>
      </c>
      <c r="M13" s="5" t="n"/>
      <c r="N13" s="5">
        <f>IF(M13="","",M13*E13)</f>
        <v/>
      </c>
    </row>
    <row r="14">
      <c r="A14" s="4" t="inlineStr">
        <is>
          <t>Kitchen</t>
        </is>
      </c>
      <c r="B14" s="4" t="inlineStr">
        <is>
          <t>Cooktop wall</t>
        </is>
      </c>
      <c r="C14" s="4" t="inlineStr">
        <is>
          <t>B3D24</t>
        </is>
      </c>
      <c r="D14" s="4" t="inlineStr">
        <is>
          <t>Base 3-drawer 24"W</t>
        </is>
      </c>
      <c r="E14" s="4" t="n">
        <v>2</v>
      </c>
      <c r="F14" s="4" t="inlineStr">
        <is>
          <t>Sun Valley Alabaster</t>
        </is>
      </c>
      <c r="G14" s="4" t="inlineStr">
        <is>
          <t>High</t>
        </is>
      </c>
      <c r="H14" s="4" t="inlineStr">
        <is>
          <t>One each end of the cooktop run</t>
        </is>
      </c>
      <c r="I14" s="5" t="n"/>
      <c r="J14" s="5">
        <f>IF(I14="","",I14*E14)</f>
        <v/>
      </c>
      <c r="K14" s="5" t="n"/>
      <c r="L14" s="5">
        <f>IF(K14="","",K14*E14)</f>
        <v/>
      </c>
      <c r="M14" s="5" t="n"/>
      <c r="N14" s="5">
        <f>IF(M14="","",M14*E14)</f>
        <v/>
      </c>
    </row>
    <row r="15">
      <c r="A15" s="4" t="inlineStr">
        <is>
          <t>Kitchen</t>
        </is>
      </c>
      <c r="B15" s="4" t="inlineStr">
        <is>
          <t>Cooktop wall</t>
        </is>
      </c>
      <c r="C15" s="4" t="inlineStr">
        <is>
          <t>B3D30</t>
        </is>
      </c>
      <c r="D15" s="4" t="inlineStr">
        <is>
          <t>Base 3-drawer 30"W</t>
        </is>
      </c>
      <c r="E15" s="4" t="n">
        <v>2</v>
      </c>
      <c r="F15" s="4" t="inlineStr">
        <is>
          <t>Sun Valley Alabaster</t>
        </is>
      </c>
      <c r="G15" s="4" t="inlineStr">
        <is>
          <t>High</t>
        </is>
      </c>
      <c r="H15" s="4" t="inlineStr">
        <is>
          <t>Each side of cooktop; spec: all base cabs on hood wall = drawers</t>
        </is>
      </c>
      <c r="I15" s="5" t="n"/>
      <c r="J15" s="5">
        <f>IF(I15="","",I15*E15)</f>
        <v/>
      </c>
      <c r="K15" s="5" t="n"/>
      <c r="L15" s="5">
        <f>IF(K15="","",K15*E15)</f>
        <v/>
      </c>
      <c r="M15" s="5" t="n"/>
      <c r="N15" s="5">
        <f>IF(M15="","",M15*E15)</f>
        <v/>
      </c>
    </row>
    <row r="16">
      <c r="A16" s="4" t="inlineStr">
        <is>
          <t>Kitchen</t>
        </is>
      </c>
      <c r="B16" s="4" t="inlineStr">
        <is>
          <t>Cooktop wall</t>
        </is>
      </c>
      <c r="C16" s="7" t="inlineStr">
        <is>
          <t>ANT4248</t>
        </is>
      </c>
      <c r="D16" s="4" t="inlineStr">
        <is>
          <t>36" cooktop base / drawer unit under LG CBIS3618BE (plan label ANT4248)</t>
        </is>
      </c>
      <c r="E16" s="4" t="n">
        <v>1</v>
      </c>
      <c r="F16" s="4" t="inlineStr">
        <is>
          <t>Sun Valley Alabaster</t>
        </is>
      </c>
      <c r="G16" s="7" t="inlineStr">
        <is>
          <t>Low</t>
        </is>
      </c>
      <c r="H16" s="4" t="inlineStr">
        <is>
          <t>Confirm SKU - may be the hood/cooktop symbol, not a cabinet</t>
        </is>
      </c>
      <c r="I16" s="5" t="n"/>
      <c r="J16" s="5">
        <f>IF(I16="","",I16*E16)</f>
        <v/>
      </c>
      <c r="K16" s="5" t="n"/>
      <c r="L16" s="5">
        <f>IF(K16="","",K16*E16)</f>
        <v/>
      </c>
      <c r="M16" s="5" t="n"/>
      <c r="N16" s="5">
        <f>IF(M16="","",M16*E16)</f>
        <v/>
      </c>
    </row>
    <row r="17">
      <c r="A17" s="4" t="inlineStr">
        <is>
          <t>Kitchen</t>
        </is>
      </c>
      <c r="B17" s="4" t="inlineStr">
        <is>
          <t>Cooktop wall</t>
        </is>
      </c>
      <c r="C17" s="7" t="inlineStr">
        <is>
          <t>W2418-L / W2418-R</t>
        </is>
      </c>
      <c r="D17" s="4" t="inlineStr">
        <is>
          <t>Wall 24"W x 18"H (stack tops over tall columns), L &amp; R</t>
        </is>
      </c>
      <c r="E17" s="4" t="n">
        <v>2</v>
      </c>
      <c r="F17" s="4" t="inlineStr">
        <is>
          <t>Sun Valley Alabaster</t>
        </is>
      </c>
      <c r="G17" s="7" t="inlineStr">
        <is>
          <t>Low</t>
        </is>
      </c>
      <c r="H17" s="4" t="inlineStr">
        <is>
          <t>Plan label partly obscured (W2_18-L/R)</t>
        </is>
      </c>
      <c r="I17" s="5" t="n"/>
      <c r="J17" s="5">
        <f>IF(I17="","",I17*E17)</f>
        <v/>
      </c>
      <c r="K17" s="5" t="n"/>
      <c r="L17" s="5">
        <f>IF(K17="","",K17*E17)</f>
        <v/>
      </c>
      <c r="M17" s="5" t="n"/>
      <c r="N17" s="5">
        <f>IF(M17="","",M17*E17)</f>
        <v/>
      </c>
    </row>
    <row r="18">
      <c r="A18" s="4" t="inlineStr">
        <is>
          <t>Kitchen</t>
        </is>
      </c>
      <c r="B18" s="4" t="inlineStr">
        <is>
          <t>Cooktop wall</t>
        </is>
      </c>
      <c r="C18" s="7" t="inlineStr">
        <is>
          <t>Tall columns flanking hood</t>
        </is>
      </c>
      <c r="D18" s="4" t="inlineStr">
        <is>
          <t>Tall/stacked wall columns each side of hood (see render)</t>
        </is>
      </c>
      <c r="E18" s="4" t="n">
        <v>2</v>
      </c>
      <c r="F18" s="4" t="inlineStr">
        <is>
          <t>Sun Valley Alabaster</t>
        </is>
      </c>
      <c r="G18" s="7" t="inlineStr">
        <is>
          <t>Low</t>
        </is>
      </c>
      <c r="H18" s="4" t="inlineStr">
        <is>
          <t>Not dimensioned in PDF - need elevation from plan designer</t>
        </is>
      </c>
      <c r="I18" s="5" t="n"/>
      <c r="J18" s="5">
        <f>IF(I18="","",I18*E18)</f>
        <v/>
      </c>
      <c r="K18" s="5" t="n"/>
      <c r="L18" s="5">
        <f>IF(K18="","",K18*E18)</f>
        <v/>
      </c>
      <c r="M18" s="5" t="n"/>
      <c r="N18" s="5">
        <f>IF(M18="","",M18*E18)</f>
        <v/>
      </c>
    </row>
    <row r="19">
      <c r="A19" s="4" t="inlineStr">
        <is>
          <t>Kitchen</t>
        </is>
      </c>
      <c r="B19" s="4" t="inlineStr">
        <is>
          <t>Cooktop wall</t>
        </is>
      </c>
      <c r="C19" s="7" t="inlineStr">
        <is>
          <t>Hood</t>
        </is>
      </c>
      <c r="D19" s="4" t="inlineStr">
        <is>
          <t>Wood/plaster hood w/ insert (vent insert TBD per spec)</t>
        </is>
      </c>
      <c r="E19" s="4" t="n">
        <v>1</v>
      </c>
      <c r="F19" s="4" t="inlineStr">
        <is>
          <t>Sun Valley Alabaster</t>
        </is>
      </c>
      <c r="G19" s="7" t="inlineStr">
        <is>
          <t>Low</t>
        </is>
      </c>
      <c r="H19" s="4" t="inlineStr">
        <is>
          <t>Confirm whether hood is cabinetry or separate (Hoodsly etc.)</t>
        </is>
      </c>
      <c r="I19" s="5" t="n"/>
      <c r="J19" s="5">
        <f>IF(I19="","",I19*E19)</f>
        <v/>
      </c>
      <c r="K19" s="5" t="n"/>
      <c r="L19" s="5">
        <f>IF(K19="","",K19*E19)</f>
        <v/>
      </c>
      <c r="M19" s="5" t="n"/>
      <c r="N19" s="5">
        <f>IF(M19="","",M19*E19)</f>
        <v/>
      </c>
    </row>
    <row r="20">
      <c r="A20" s="4" t="inlineStr">
        <is>
          <t>Kitchen</t>
        </is>
      </c>
      <c r="B20" s="4" t="inlineStr">
        <is>
          <t>Cooktop wall</t>
        </is>
      </c>
      <c r="C20" s="7" t="inlineStr">
        <is>
          <t>500VECRN10</t>
        </is>
      </c>
      <c r="D20" s="4" t="inlineStr">
        <is>
          <t>Crown / valance moulding</t>
        </is>
      </c>
      <c r="E20" s="4" t="n">
        <v>2</v>
      </c>
      <c r="F20" s="4" t="inlineStr">
        <is>
          <t>Sun Valley Alabaster</t>
        </is>
      </c>
      <c r="G20" s="7" t="inlineStr">
        <is>
          <t>Low</t>
        </is>
      </c>
      <c r="H20" s="4" t="inlineStr">
        <is>
          <t>Quote crown by LF once full elevations are in hand</t>
        </is>
      </c>
      <c r="I20" s="5" t="n"/>
      <c r="J20" s="5">
        <f>IF(I20="","",I20*E20)</f>
        <v/>
      </c>
      <c r="K20" s="5" t="n"/>
      <c r="L20" s="5">
        <f>IF(K20="","",K20*E20)</f>
        <v/>
      </c>
      <c r="M20" s="5" t="n"/>
      <c r="N20" s="5">
        <f>IF(M20="","",M20*E20)</f>
        <v/>
      </c>
    </row>
    <row r="21">
      <c r="A21" s="4" t="inlineStr">
        <is>
          <t>Kitchen</t>
        </is>
      </c>
      <c r="B21" s="4" t="inlineStr">
        <is>
          <t>Window wall</t>
        </is>
      </c>
      <c r="C21" s="4" t="inlineStr">
        <is>
          <t>B3D21</t>
        </is>
      </c>
      <c r="D21" s="4" t="inlineStr">
        <is>
          <t>Base 3-drawer 21"W</t>
        </is>
      </c>
      <c r="E21" s="4" t="n">
        <v>1</v>
      </c>
      <c r="F21" s="4" t="inlineStr">
        <is>
          <t>Sun Valley Alabaster</t>
        </is>
      </c>
      <c r="G21" s="4" t="inlineStr">
        <is>
          <t>High</t>
        </is>
      </c>
      <c r="H21" s="4" t="inlineStr">
        <is>
          <t>Left end, next to refrigerator</t>
        </is>
      </c>
      <c r="I21" s="5" t="n"/>
      <c r="J21" s="5">
        <f>IF(I21="","",I21*E21)</f>
        <v/>
      </c>
      <c r="K21" s="5" t="n"/>
      <c r="L21" s="5">
        <f>IF(K21="","",K21*E21)</f>
        <v/>
      </c>
      <c r="M21" s="5" t="n"/>
      <c r="N21" s="5">
        <f>IF(M21="","",M21*E21)</f>
        <v/>
      </c>
    </row>
    <row r="22">
      <c r="A22" s="4" t="inlineStr">
        <is>
          <t>Kitchen</t>
        </is>
      </c>
      <c r="B22" s="4" t="inlineStr">
        <is>
          <t>Window wall</t>
        </is>
      </c>
      <c r="C22" s="7" t="inlineStr">
        <is>
          <t>WS3642</t>
        </is>
      </c>
      <c r="D22" s="4" t="inlineStr">
        <is>
          <t>36"W unit (plan label WS3642)</t>
        </is>
      </c>
      <c r="E22" s="4" t="n">
        <v>1</v>
      </c>
      <c r="F22" s="4" t="inlineStr">
        <is>
          <t>Sun Valley Alabaster</t>
        </is>
      </c>
      <c r="G22" s="7" t="inlineStr">
        <is>
          <t>Low</t>
        </is>
      </c>
      <c r="H22" s="4" t="inlineStr">
        <is>
          <t>Confirm - may be wall/shelf unit over base</t>
        </is>
      </c>
      <c r="I22" s="5" t="n"/>
      <c r="J22" s="5">
        <f>IF(I22="","",I22*E22)</f>
        <v/>
      </c>
      <c r="K22" s="5" t="n"/>
      <c r="L22" s="5">
        <f>IF(K22="","",K22*E22)</f>
        <v/>
      </c>
      <c r="M22" s="5" t="n"/>
      <c r="N22" s="5">
        <f>IF(M22="","",M22*E22)</f>
        <v/>
      </c>
    </row>
    <row r="23">
      <c r="A23" s="4" t="inlineStr">
        <is>
          <t>Kitchen</t>
        </is>
      </c>
      <c r="B23" s="4" t="inlineStr">
        <is>
          <t>Window wall</t>
        </is>
      </c>
      <c r="C23" s="7" t="inlineStr">
        <is>
          <t>B (33")</t>
        </is>
      </c>
      <c r="D23" s="4" t="inlineStr">
        <is>
          <t>Base 33"W (label overlapped/garbled on plan)</t>
        </is>
      </c>
      <c r="E23" s="4" t="n">
        <v>1</v>
      </c>
      <c r="F23" s="4" t="inlineStr">
        <is>
          <t>Sun Valley Alabaster</t>
        </is>
      </c>
      <c r="G23" s="7" t="inlineStr">
        <is>
          <t>Low</t>
        </is>
      </c>
      <c r="H23" s="4" t="inlineStr">
        <is>
          <t>Confirm SKU</t>
        </is>
      </c>
      <c r="I23" s="5" t="n"/>
      <c r="J23" s="5">
        <f>IF(I23="","",I23*E23)</f>
        <v/>
      </c>
      <c r="K23" s="5" t="n"/>
      <c r="L23" s="5">
        <f>IF(K23="","",K23*E23)</f>
        <v/>
      </c>
      <c r="M23" s="5" t="n"/>
      <c r="N23" s="5">
        <f>IF(M23="","",M23*E23)</f>
        <v/>
      </c>
    </row>
    <row r="24">
      <c r="A24" s="4" t="inlineStr">
        <is>
          <t>Kitchen</t>
        </is>
      </c>
      <c r="B24" s="4" t="inlineStr">
        <is>
          <t>Window wall</t>
        </is>
      </c>
      <c r="C24" s="4" t="inlineStr">
        <is>
          <t>B2D36</t>
        </is>
      </c>
      <c r="D24" s="4" t="inlineStr">
        <is>
          <t>Base 2-drawer 36"W</t>
        </is>
      </c>
      <c r="E24" s="4" t="n">
        <v>1</v>
      </c>
      <c r="F24" s="4" t="inlineStr">
        <is>
          <t>Sun Valley Alabaster</t>
        </is>
      </c>
      <c r="G24" s="4" t="inlineStr">
        <is>
          <t>High</t>
        </is>
      </c>
      <c r="H24" s="4" t="inlineStr">
        <is>
          <t>Right end</t>
        </is>
      </c>
      <c r="I24" s="5" t="n"/>
      <c r="J24" s="5">
        <f>IF(I24="","",I24*E24)</f>
        <v/>
      </c>
      <c r="K24" s="5" t="n"/>
      <c r="L24" s="5">
        <f>IF(K24="","",K24*E24)</f>
        <v/>
      </c>
      <c r="M24" s="5" t="n"/>
      <c r="N24" s="5">
        <f>IF(M24="","",M24*E24)</f>
        <v/>
      </c>
    </row>
    <row r="25">
      <c r="A25" s="4" t="inlineStr">
        <is>
          <t>Kitchen</t>
        </is>
      </c>
      <c r="B25" s="4" t="inlineStr">
        <is>
          <t>Window wall</t>
        </is>
      </c>
      <c r="C25" s="7" t="inlineStr">
        <is>
          <t>WS3636</t>
        </is>
      </c>
      <c r="D25" s="4" t="inlineStr">
        <is>
          <t>36"W unit (plan label WS3636)</t>
        </is>
      </c>
      <c r="E25" s="4" t="n">
        <v>1</v>
      </c>
      <c r="F25" s="4" t="inlineStr">
        <is>
          <t>Sun Valley Alabaster</t>
        </is>
      </c>
      <c r="G25" s="7" t="inlineStr">
        <is>
          <t>Low</t>
        </is>
      </c>
      <c r="H25" s="4" t="inlineStr">
        <is>
          <t>Confirm</t>
        </is>
      </c>
      <c r="I25" s="5" t="n"/>
      <c r="J25" s="5">
        <f>IF(I25="","",I25*E25)</f>
        <v/>
      </c>
      <c r="K25" s="5" t="n"/>
      <c r="L25" s="5">
        <f>IF(K25="","",K25*E25)</f>
        <v/>
      </c>
      <c r="M25" s="5" t="n"/>
      <c r="N25" s="5">
        <f>IF(M25="","",M25*E25)</f>
        <v/>
      </c>
    </row>
    <row r="26">
      <c r="A26" s="4" t="inlineStr">
        <is>
          <t>Kitchen</t>
        </is>
      </c>
      <c r="B26" s="4" t="inlineStr">
        <is>
          <t>Oven / fridge wall</t>
        </is>
      </c>
      <c r="C26" s="7" t="inlineStr">
        <is>
          <t>Oven tall cabinet</t>
        </is>
      </c>
      <c r="D26" s="4" t="inlineStr">
        <is>
          <t>Double oven tall cabinet for Cafe CTD70DP2NS1 (30")</t>
        </is>
      </c>
      <c r="E26" s="4" t="n">
        <v>1</v>
      </c>
      <c r="F26" s="4" t="inlineStr">
        <is>
          <t>Sun Valley Alabaster</t>
        </is>
      </c>
      <c r="G26" s="7" t="inlineStr">
        <is>
          <t>Low</t>
        </is>
      </c>
      <c r="H26" s="4" t="inlineStr">
        <is>
          <t>NOT in the PDF plan - shown in render only; need elevation</t>
        </is>
      </c>
      <c r="I26" s="5" t="n"/>
      <c r="J26" s="5">
        <f>IF(I26="","",I26*E26)</f>
        <v/>
      </c>
      <c r="K26" s="5" t="n"/>
      <c r="L26" s="5">
        <f>IF(K26="","",K26*E26)</f>
        <v/>
      </c>
      <c r="M26" s="5" t="n"/>
      <c r="N26" s="5">
        <f>IF(M26="","",M26*E26)</f>
        <v/>
      </c>
    </row>
    <row r="27">
      <c r="A27" s="4" t="inlineStr">
        <is>
          <t>Kitchen</t>
        </is>
      </c>
      <c r="B27" s="4" t="inlineStr">
        <is>
          <t>Oven / fridge wall</t>
        </is>
      </c>
      <c r="C27" s="7" t="inlineStr">
        <is>
          <t>Tall pantry</t>
        </is>
      </c>
      <c r="D27" s="4" t="inlineStr">
        <is>
          <t>Tall pantry cabinet(s) left of ovens</t>
        </is>
      </c>
      <c r="E27" s="4" t="n">
        <v>1</v>
      </c>
      <c r="F27" s="4" t="inlineStr">
        <is>
          <t>Sun Valley Alabaster</t>
        </is>
      </c>
      <c r="G27" s="7" t="inlineStr">
        <is>
          <t>Low</t>
        </is>
      </c>
      <c r="H27" s="4" t="inlineStr">
        <is>
          <t>NOT in the PDF plan - render only</t>
        </is>
      </c>
      <c r="I27" s="5" t="n"/>
      <c r="J27" s="5">
        <f>IF(I27="","",I27*E27)</f>
        <v/>
      </c>
      <c r="K27" s="5" t="n"/>
      <c r="L27" s="5">
        <f>IF(K27="","",K27*E27)</f>
        <v/>
      </c>
      <c r="M27" s="5" t="n"/>
      <c r="N27" s="5">
        <f>IF(M27="","",M27*E27)</f>
        <v/>
      </c>
    </row>
    <row r="28">
      <c r="A28" s="4" t="inlineStr">
        <is>
          <t>Kitchen</t>
        </is>
      </c>
      <c r="B28" s="4" t="inlineStr">
        <is>
          <t>Oven / fridge wall</t>
        </is>
      </c>
      <c r="C28" s="7" t="inlineStr">
        <is>
          <t>Refrigerator wall cab + panels</t>
        </is>
      </c>
      <c r="D28" s="4" t="inlineStr">
        <is>
          <t>Wall cab over fridge + stacked tops + fridge end panels (Cafe CVE28DP2NS1)</t>
        </is>
      </c>
      <c r="E28" s="4" t="n">
        <v>1</v>
      </c>
      <c r="F28" s="4" t="inlineStr">
        <is>
          <t>Sun Valley Alabaster</t>
        </is>
      </c>
      <c r="G28" s="7" t="inlineStr">
        <is>
          <t>Low</t>
        </is>
      </c>
      <c r="H28" s="4" t="inlineStr">
        <is>
          <t>NOT in the PDF plan - render only</t>
        </is>
      </c>
      <c r="I28" s="5" t="n"/>
      <c r="J28" s="5">
        <f>IF(I28="","",I28*E28)</f>
        <v/>
      </c>
      <c r="K28" s="5" t="n"/>
      <c r="L28" s="5">
        <f>IF(K28="","",K28*E28)</f>
        <v/>
      </c>
      <c r="M28" s="5" t="n"/>
      <c r="N28" s="5">
        <f>IF(M28="","",M28*E28)</f>
        <v/>
      </c>
    </row>
    <row r="29">
      <c r="A29" s="4" t="inlineStr">
        <is>
          <t>Kitchen</t>
        </is>
      </c>
      <c r="B29" s="4" t="inlineStr">
        <is>
          <t>Oven / fridge wall</t>
        </is>
      </c>
      <c r="C29" s="7" t="inlineStr">
        <is>
          <t>Appliance garage / beverage nook</t>
        </is>
      </c>
      <c r="D29" s="4" t="inlineStr">
        <is>
          <t>Base drawers + open shelves at right end (render)</t>
        </is>
      </c>
      <c r="E29" s="4" t="n">
        <v>1</v>
      </c>
      <c r="F29" s="4" t="inlineStr">
        <is>
          <t>Sun Valley Alabaster</t>
        </is>
      </c>
      <c r="G29" s="7" t="inlineStr">
        <is>
          <t>Low</t>
        </is>
      </c>
      <c r="H29" s="4" t="inlineStr">
        <is>
          <t>Spec sheet: 'Inset Appliance Garage' - confirm</t>
        </is>
      </c>
      <c r="I29" s="5" t="n"/>
      <c r="J29" s="5">
        <f>IF(I29="","",I29*E29)</f>
        <v/>
      </c>
      <c r="K29" s="5" t="n"/>
      <c r="L29" s="5">
        <f>IF(K29="","",K29*E29)</f>
        <v/>
      </c>
      <c r="M29" s="5" t="n"/>
      <c r="N29" s="5">
        <f>IF(M29="","",M29*E29)</f>
        <v/>
      </c>
    </row>
    <row r="30">
      <c r="A30" s="4" t="inlineStr">
        <is>
          <t>Kitchen</t>
        </is>
      </c>
      <c r="B30" s="4" t="inlineStr">
        <is>
          <t>Accessories</t>
        </is>
      </c>
      <c r="C30" s="7" t="inlineStr">
        <is>
          <t>Fillers / toe kick / scribe / crown</t>
        </is>
      </c>
      <c r="D30" s="4" t="inlineStr">
        <is>
          <t>Fillers, toe kick, scribe, crown, light rail</t>
        </is>
      </c>
      <c r="E30" s="4" t="n">
        <v>1</v>
      </c>
      <c r="F30" s="4" t="inlineStr">
        <is>
          <t>Sun Valley Alabaster</t>
        </is>
      </c>
      <c r="G30" s="7" t="inlineStr">
        <is>
          <t>Low</t>
        </is>
      </c>
      <c r="H30" s="4" t="inlineStr">
        <is>
          <t>Add per vendor's takeoff</t>
        </is>
      </c>
      <c r="I30" s="5" t="n"/>
      <c r="J30" s="5">
        <f>IF(I30="","",I30*E30)</f>
        <v/>
      </c>
      <c r="K30" s="5" t="n"/>
      <c r="L30" s="5">
        <f>IF(K30="","",K30*E30)</f>
        <v/>
      </c>
      <c r="M30" s="5" t="n"/>
      <c r="N30" s="5">
        <f>IF(M30="","",M30*E30)</f>
        <v/>
      </c>
    </row>
    <row r="31">
      <c r="A31" s="4" t="inlineStr">
        <is>
          <t>Pantry</t>
        </is>
      </c>
      <c r="B31" s="4" t="inlineStr">
        <is>
          <t>Sink wall</t>
        </is>
      </c>
      <c r="C31" s="6" t="inlineStr">
        <is>
          <t>Tall pantry 30"W x 84"+</t>
        </is>
      </c>
      <c r="D31" s="4" t="inlineStr">
        <is>
          <t>Tall pantry 30"W, 2 stacked door sets (purple on elevation)</t>
        </is>
      </c>
      <c r="E31" s="4" t="n">
        <v>1</v>
      </c>
      <c r="F31" s="4" t="inlineStr">
        <is>
          <t>Designer's Choice Bellview (green)</t>
        </is>
      </c>
      <c r="G31" s="6" t="inlineStr">
        <is>
          <t>Medium</t>
        </is>
      </c>
      <c r="H31" s="4" t="inlineStr">
        <is>
          <t>Elevation: 30" tall unit, 53-7/16" + upper section</t>
        </is>
      </c>
      <c r="I31" s="5" t="n"/>
      <c r="J31" s="5">
        <f>IF(I31="","",I31*E31)</f>
        <v/>
      </c>
      <c r="K31" s="5" t="n"/>
      <c r="L31" s="5">
        <f>IF(K31="","",K31*E31)</f>
        <v/>
      </c>
      <c r="M31" s="5" t="n"/>
      <c r="N31" s="5">
        <f>IF(M31="","",M31*E31)</f>
        <v/>
      </c>
    </row>
    <row r="32">
      <c r="A32" s="4" t="inlineStr">
        <is>
          <t>Pantry</t>
        </is>
      </c>
      <c r="B32" s="4" t="inlineStr">
        <is>
          <t>Sink wall</t>
        </is>
      </c>
      <c r="C32" s="4" t="inlineStr">
        <is>
          <t>W3018</t>
        </is>
      </c>
      <c r="D32" s="4" t="inlineStr">
        <is>
          <t>Wall 30"W x 18"H stacker (over tall pantry)</t>
        </is>
      </c>
      <c r="E32" s="4" t="n">
        <v>1</v>
      </c>
      <c r="F32" s="4" t="inlineStr">
        <is>
          <t>Designer's Choice Bellview (green)</t>
        </is>
      </c>
      <c r="G32" s="4" t="inlineStr">
        <is>
          <t>High</t>
        </is>
      </c>
      <c r="H32" s="4" t="inlineStr">
        <is>
          <t>Plan W3018</t>
        </is>
      </c>
      <c r="I32" s="5" t="n"/>
      <c r="J32" s="5">
        <f>IF(I32="","",I32*E32)</f>
        <v/>
      </c>
      <c r="K32" s="5" t="n"/>
      <c r="L32" s="5">
        <f>IF(K32="","",K32*E32)</f>
        <v/>
      </c>
      <c r="M32" s="5" t="n"/>
      <c r="N32" s="5">
        <f>IF(M32="","",M32*E32)</f>
        <v/>
      </c>
    </row>
    <row r="33">
      <c r="A33" s="4" t="inlineStr">
        <is>
          <t>Pantry</t>
        </is>
      </c>
      <c r="B33" s="4" t="inlineStr">
        <is>
          <t>Sink wall</t>
        </is>
      </c>
      <c r="C33" s="4" t="inlineStr">
        <is>
          <t>W3618-24</t>
        </is>
      </c>
      <c r="D33" s="4" t="inlineStr">
        <is>
          <t>Wall 36"W x 18"H x 24"D over refrigerator</t>
        </is>
      </c>
      <c r="E33" s="4" t="n">
        <v>1</v>
      </c>
      <c r="F33" s="4" t="inlineStr">
        <is>
          <t>Designer's Choice Bellview (green)</t>
        </is>
      </c>
      <c r="G33" s="4" t="inlineStr">
        <is>
          <t>High</t>
        </is>
      </c>
      <c r="H33" s="4" t="inlineStr">
        <is>
          <t>Over GE GFE26JYMFS fridge</t>
        </is>
      </c>
      <c r="I33" s="5" t="n"/>
      <c r="J33" s="5">
        <f>IF(I33="","",I33*E33)</f>
        <v/>
      </c>
      <c r="K33" s="5" t="n"/>
      <c r="L33" s="5">
        <f>IF(K33="","",K33*E33)</f>
        <v/>
      </c>
      <c r="M33" s="5" t="n"/>
      <c r="N33" s="5">
        <f>IF(M33="","",M33*E33)</f>
        <v/>
      </c>
    </row>
    <row r="34">
      <c r="A34" s="4" t="inlineStr">
        <is>
          <t>Pantry</t>
        </is>
      </c>
      <c r="B34" s="4" t="inlineStr">
        <is>
          <t>Sink wall</t>
        </is>
      </c>
      <c r="C34" s="6" t="inlineStr">
        <is>
          <t>W3624 (stacker)</t>
        </is>
      </c>
      <c r="D34" s="4" t="inlineStr">
        <is>
          <t>Wall 36"W x 24"H stacker over W3618-24</t>
        </is>
      </c>
      <c r="E34" s="4" t="n">
        <v>1</v>
      </c>
      <c r="F34" s="4" t="inlineStr">
        <is>
          <t>Designer's Choice Bellview (green)</t>
        </is>
      </c>
      <c r="G34" s="6" t="inlineStr">
        <is>
          <t>Medium</t>
        </is>
      </c>
      <c r="H34" s="4" t="inlineStr">
        <is>
          <t>Elevation shows 2 tiers over fridge</t>
        </is>
      </c>
      <c r="I34" s="5" t="n"/>
      <c r="J34" s="5">
        <f>IF(I34="","",I34*E34)</f>
        <v/>
      </c>
      <c r="K34" s="5" t="n"/>
      <c r="L34" s="5">
        <f>IF(K34="","",K34*E34)</f>
        <v/>
      </c>
      <c r="M34" s="5" t="n"/>
      <c r="N34" s="5">
        <f>IF(M34="","",M34*E34)</f>
        <v/>
      </c>
    </row>
    <row r="35">
      <c r="A35" s="4" t="inlineStr">
        <is>
          <t>Pantry</t>
        </is>
      </c>
      <c r="B35" s="4" t="inlineStr">
        <is>
          <t>Sink wall</t>
        </is>
      </c>
      <c r="C35" s="4" t="inlineStr">
        <is>
          <t>DD30-3</t>
        </is>
      </c>
      <c r="D35" s="4" t="inlineStr">
        <is>
          <t>Drawer base 30"W, 3-drawer</t>
        </is>
      </c>
      <c r="E35" s="4" t="n">
        <v>3</v>
      </c>
      <c r="F35" s="4" t="inlineStr">
        <is>
          <t>Designer's Choice Bellview (green)</t>
        </is>
      </c>
      <c r="G35" s="4" t="inlineStr">
        <is>
          <t>High</t>
        </is>
      </c>
      <c r="H35" s="4" t="inlineStr">
        <is>
          <t>Plan DD30-3 x3</t>
        </is>
      </c>
      <c r="I35" s="5" t="n"/>
      <c r="J35" s="5">
        <f>IF(I35="","",I35*E35)</f>
        <v/>
      </c>
      <c r="K35" s="5" t="n"/>
      <c r="L35" s="5">
        <f>IF(K35="","",K35*E35)</f>
        <v/>
      </c>
      <c r="M35" s="5" t="n"/>
      <c r="N35" s="5">
        <f>IF(M35="","",M35*E35)</f>
        <v/>
      </c>
    </row>
    <row r="36">
      <c r="A36" s="4" t="inlineStr">
        <is>
          <t>Pantry</t>
        </is>
      </c>
      <c r="B36" s="4" t="inlineStr">
        <is>
          <t>Sink wall</t>
        </is>
      </c>
      <c r="C36" s="4" t="inlineStr">
        <is>
          <t>SB33</t>
        </is>
      </c>
      <c r="D36" s="4" t="inlineStr">
        <is>
          <t>Sink base 33"W</t>
        </is>
      </c>
      <c r="E36" s="4" t="n">
        <v>1</v>
      </c>
      <c r="F36" s="4" t="inlineStr">
        <is>
          <t>Designer's Choice Bellview (green)</t>
        </is>
      </c>
      <c r="G36" s="4" t="inlineStr">
        <is>
          <t>High</t>
        </is>
      </c>
      <c r="H36" s="4" t="inlineStr">
        <is>
          <t>Plan SB33 (UKD-10 = sink)</t>
        </is>
      </c>
      <c r="I36" s="5" t="n"/>
      <c r="J36" s="5">
        <f>IF(I36="","",I36*E36)</f>
        <v/>
      </c>
      <c r="K36" s="5" t="n"/>
      <c r="L36" s="5">
        <f>IF(K36="","",K36*E36)</f>
        <v/>
      </c>
      <c r="M36" s="5" t="n"/>
      <c r="N36" s="5">
        <f>IF(M36="","",M36*E36)</f>
        <v/>
      </c>
    </row>
    <row r="37">
      <c r="A37" s="4" t="inlineStr">
        <is>
          <t>Pantry</t>
        </is>
      </c>
      <c r="B37" s="4" t="inlineStr">
        <is>
          <t>Sink wall</t>
        </is>
      </c>
      <c r="C37" s="4" t="inlineStr">
        <is>
          <t>W3018</t>
        </is>
      </c>
      <c r="D37" s="4" t="inlineStr">
        <is>
          <t>Wall 30"W x 18"H stackers (top tier)</t>
        </is>
      </c>
      <c r="E37" s="4" t="n">
        <v>3</v>
      </c>
      <c r="F37" s="4" t="inlineStr">
        <is>
          <t>Designer's Choice Bellview (green)</t>
        </is>
      </c>
      <c r="G37" s="4" t="inlineStr">
        <is>
          <t>High</t>
        </is>
      </c>
      <c r="H37" s="4" t="inlineStr">
        <is>
          <t>Over the 3 drawer-base columns</t>
        </is>
      </c>
      <c r="I37" s="5" t="n"/>
      <c r="J37" s="5">
        <f>IF(I37="","",I37*E37)</f>
        <v/>
      </c>
      <c r="K37" s="5" t="n"/>
      <c r="L37" s="5">
        <f>IF(K37="","",K37*E37)</f>
        <v/>
      </c>
      <c r="M37" s="5" t="n"/>
      <c r="N37" s="5">
        <f>IF(M37="","",M37*E37)</f>
        <v/>
      </c>
    </row>
    <row r="38">
      <c r="A38" s="4" t="inlineStr">
        <is>
          <t>Pantry</t>
        </is>
      </c>
      <c r="B38" s="4" t="inlineStr">
        <is>
          <t>Sink wall</t>
        </is>
      </c>
      <c r="C38" s="6" t="inlineStr">
        <is>
          <t>W3042 (approx.)</t>
        </is>
      </c>
      <c r="D38" s="4" t="inlineStr">
        <is>
          <t>Wall 30"W x ~42"H (lower tier, tall uppers)</t>
        </is>
      </c>
      <c r="E38" s="4" t="n">
        <v>3</v>
      </c>
      <c r="F38" s="4" t="inlineStr">
        <is>
          <t>Designer's Choice Bellview (green)</t>
        </is>
      </c>
      <c r="G38" s="6" t="inlineStr">
        <is>
          <t>Medium</t>
        </is>
      </c>
      <c r="H38" s="4" t="inlineStr">
        <is>
          <t>Elevation shows tall uppers under each W3018; confirm height</t>
        </is>
      </c>
      <c r="I38" s="5" t="n"/>
      <c r="J38" s="5">
        <f>IF(I38="","",I38*E38)</f>
        <v/>
      </c>
      <c r="K38" s="5" t="n"/>
      <c r="L38" s="5">
        <f>IF(K38="","",K38*E38)</f>
        <v/>
      </c>
      <c r="M38" s="5" t="n"/>
      <c r="N38" s="5">
        <f>IF(M38="","",M38*E38)</f>
        <v/>
      </c>
    </row>
    <row r="39">
      <c r="A39" s="4" t="inlineStr">
        <is>
          <t>Pantry</t>
        </is>
      </c>
      <c r="B39" s="4" t="inlineStr">
        <is>
          <t>Sink wall</t>
        </is>
      </c>
      <c r="C39" s="4" t="inlineStr">
        <is>
          <t>W3330</t>
        </is>
      </c>
      <c r="D39" s="4" t="inlineStr">
        <is>
          <t>Wall 33"W x 30"H over sink</t>
        </is>
      </c>
      <c r="E39" s="4" t="n">
        <v>1</v>
      </c>
      <c r="F39" s="4" t="inlineStr">
        <is>
          <t>Designer's Choice Bellview (green)</t>
        </is>
      </c>
      <c r="G39" s="4" t="inlineStr">
        <is>
          <t>High</t>
        </is>
      </c>
      <c r="H39" s="4" t="inlineStr">
        <is>
          <t>Plan W3330</t>
        </is>
      </c>
      <c r="I39" s="5" t="n"/>
      <c r="J39" s="5">
        <f>IF(I39="","",I39*E39)</f>
        <v/>
      </c>
      <c r="K39" s="5" t="n"/>
      <c r="L39" s="5">
        <f>IF(K39="","",K39*E39)</f>
        <v/>
      </c>
      <c r="M39" s="5" t="n"/>
      <c r="N39" s="5">
        <f>IF(M39="","",M39*E39)</f>
        <v/>
      </c>
    </row>
    <row r="40">
      <c r="A40" s="4" t="inlineStr">
        <is>
          <t>Pantry</t>
        </is>
      </c>
      <c r="B40" s="4" t="inlineStr">
        <is>
          <t>Sink wall</t>
        </is>
      </c>
      <c r="C40" s="6" t="inlineStr">
        <is>
          <t>CM24 / TKM8-25 / F396</t>
        </is>
      </c>
      <c r="D40" s="4" t="inlineStr">
        <is>
          <t>Crown (CM24), toe kick (TKM8-25), filler 3"x96" (F396)</t>
        </is>
      </c>
      <c r="E40" s="4" t="n">
        <v>1</v>
      </c>
      <c r="F40" s="4" t="inlineStr">
        <is>
          <t>Designer's Choice Bellview (green)</t>
        </is>
      </c>
      <c r="G40" s="6" t="inlineStr">
        <is>
          <t>Medium</t>
        </is>
      </c>
      <c r="H40" s="4" t="inlineStr">
        <is>
          <t>Accessories from plan</t>
        </is>
      </c>
      <c r="I40" s="5" t="n"/>
      <c r="J40" s="5">
        <f>IF(I40="","",I40*E40)</f>
        <v/>
      </c>
      <c r="K40" s="5" t="n"/>
      <c r="L40" s="5">
        <f>IF(K40="","",K40*E40)</f>
        <v/>
      </c>
      <c r="M40" s="5" t="n"/>
      <c r="N40" s="5">
        <f>IF(M40="","",M40*E40)</f>
        <v/>
      </c>
    </row>
    <row r="41">
      <c r="A41" s="4" t="inlineStr">
        <is>
          <t>Pantry</t>
        </is>
      </c>
      <c r="B41" s="4" t="inlineStr">
        <is>
          <t>Door wall</t>
        </is>
      </c>
      <c r="C41" s="6" t="inlineStr">
        <is>
          <t>REPV24120</t>
        </is>
      </c>
      <c r="D41" s="4" t="inlineStr">
        <is>
          <t>Refrigerator-style end panel 24"D x 120"H (open shelving uprights)</t>
        </is>
      </c>
      <c r="E41" s="4" t="n">
        <v>4</v>
      </c>
      <c r="F41" s="4" t="inlineStr">
        <is>
          <t>Designer's Choice Bellview (green)</t>
        </is>
      </c>
      <c r="G41" s="6" t="inlineStr">
        <is>
          <t>Medium</t>
        </is>
      </c>
      <c r="H41" s="4" t="inlineStr">
        <is>
          <t>Plan REPV24120 x4</t>
        </is>
      </c>
      <c r="I41" s="5" t="n"/>
      <c r="J41" s="5">
        <f>IF(I41="","",I41*E41)</f>
        <v/>
      </c>
      <c r="K41" s="5" t="n"/>
      <c r="L41" s="5">
        <f>IF(K41="","",K41*E41)</f>
        <v/>
      </c>
      <c r="M41" s="5" t="n"/>
      <c r="N41" s="5">
        <f>IF(M41="","",M41*E41)</f>
        <v/>
      </c>
    </row>
    <row r="42">
      <c r="A42" s="4" t="inlineStr">
        <is>
          <t>Pantry</t>
        </is>
      </c>
      <c r="B42" s="4" t="inlineStr">
        <is>
          <t>Door wall</t>
        </is>
      </c>
      <c r="C42" s="6" t="inlineStr">
        <is>
          <t>REPV12120</t>
        </is>
      </c>
      <c r="D42" s="4" t="inlineStr">
        <is>
          <t>End panel 12"D x 120"H</t>
        </is>
      </c>
      <c r="E42" s="4" t="n">
        <v>1</v>
      </c>
      <c r="F42" s="4" t="inlineStr">
        <is>
          <t>Designer's Choice Bellview (green)</t>
        </is>
      </c>
      <c r="G42" s="6" t="inlineStr">
        <is>
          <t>Medium</t>
        </is>
      </c>
      <c r="H42" s="4" t="inlineStr">
        <is>
          <t>Plan REPV12120</t>
        </is>
      </c>
      <c r="I42" s="5" t="n"/>
      <c r="J42" s="5">
        <f>IF(I42="","",I42*E42)</f>
        <v/>
      </c>
      <c r="K42" s="5" t="n"/>
      <c r="L42" s="5">
        <f>IF(K42="","",K42*E42)</f>
        <v/>
      </c>
      <c r="M42" s="5" t="n"/>
      <c r="N42" s="5">
        <f>IF(M42="","",M42*E42)</f>
        <v/>
      </c>
    </row>
    <row r="43">
      <c r="A43" s="4" t="inlineStr">
        <is>
          <t>Pantry</t>
        </is>
      </c>
      <c r="B43" s="4" t="inlineStr">
        <is>
          <t>Door wall</t>
        </is>
      </c>
      <c r="C43" s="7" t="inlineStr">
        <is>
          <t>SHELF</t>
        </is>
      </c>
      <c r="D43" s="4" t="inlineStr">
        <is>
          <t>Open shelves between panels</t>
        </is>
      </c>
      <c r="E43" s="4" t="n">
        <v>0</v>
      </c>
      <c r="F43" s="4" t="inlineStr">
        <is>
          <t>Designer's Choice Bellview (green)</t>
        </is>
      </c>
      <c r="G43" s="7" t="inlineStr">
        <is>
          <t>Low</t>
        </is>
      </c>
      <c r="H43" s="4" t="inlineStr">
        <is>
          <t>Count shelves from Pantry Door Wall elevation (~4 bays)</t>
        </is>
      </c>
      <c r="I43" s="5" t="n"/>
      <c r="J43" s="5">
        <f>IF(I43="","",I43*E43)</f>
        <v/>
      </c>
      <c r="K43" s="5" t="n"/>
      <c r="L43" s="5">
        <f>IF(K43="","",K43*E43)</f>
        <v/>
      </c>
      <c r="M43" s="5" t="n"/>
      <c r="N43" s="5">
        <f>IF(M43="","",M43*E43)</f>
        <v/>
      </c>
    </row>
    <row r="44">
      <c r="A44" s="4" t="inlineStr">
        <is>
          <t>Pantry</t>
        </is>
      </c>
      <c r="B44" s="4" t="inlineStr">
        <is>
          <t>Hardware</t>
        </is>
      </c>
      <c r="C44" s="4" t="inlineStr">
        <is>
          <t>PAL001</t>
        </is>
      </c>
      <c r="D44" s="4" t="inlineStr">
        <is>
          <t>Pulls</t>
        </is>
      </c>
      <c r="E44" s="4" t="n">
        <v>0</v>
      </c>
      <c r="F44" s="4" t="inlineStr">
        <is>
          <t>Owner provided</t>
        </is>
      </c>
      <c r="G44" s="4" t="inlineStr">
        <is>
          <t>High</t>
        </is>
      </c>
      <c r="H44" s="4" t="inlineStr">
        <is>
          <t>Spec sheet: owner to provide pantry hardware - do not quote</t>
        </is>
      </c>
      <c r="I44" s="5" t="n"/>
      <c r="J44" s="5">
        <f>IF(I44="","",I44*E44)</f>
        <v/>
      </c>
      <c r="K44" s="5" t="n"/>
      <c r="L44" s="5">
        <f>IF(K44="","",K44*E44)</f>
        <v/>
      </c>
      <c r="M44" s="5" t="n"/>
      <c r="N44" s="5">
        <f>IF(M44="","",M44*E44)</f>
        <v/>
      </c>
    </row>
    <row r="45">
      <c r="A45" s="4" t="inlineStr">
        <is>
          <t>Primary Bath</t>
        </is>
      </c>
      <c r="B45" s="4" t="inlineStr">
        <is>
          <t>Vanity 112-1/2"</t>
        </is>
      </c>
      <c r="C45" s="4" t="inlineStr">
        <is>
          <t>VB12-L</t>
        </is>
      </c>
      <c r="D45" s="4" t="inlineStr">
        <is>
          <t>Vanity base 12"W, hinge left</t>
        </is>
      </c>
      <c r="E45" s="4" t="n">
        <v>1</v>
      </c>
      <c r="F45" s="4" t="inlineStr">
        <is>
          <t>KCD Shaker White</t>
        </is>
      </c>
      <c r="G45" s="4" t="inlineStr">
        <is>
          <t>High</t>
        </is>
      </c>
      <c r="H45" s="4" t="inlineStr">
        <is>
          <t>Plan VB12 L</t>
        </is>
      </c>
      <c r="I45" s="5" t="n"/>
      <c r="J45" s="5">
        <f>IF(I45="","",I45*E45)</f>
        <v/>
      </c>
      <c r="K45" s="5" t="n"/>
      <c r="L45" s="5">
        <f>IF(K45="","",K45*E45)</f>
        <v/>
      </c>
      <c r="M45" s="5" t="n"/>
      <c r="N45" s="5">
        <f>IF(M45="","",M45*E45)</f>
        <v/>
      </c>
    </row>
    <row r="46">
      <c r="A46" s="4" t="inlineStr">
        <is>
          <t>Primary Bath</t>
        </is>
      </c>
      <c r="B46" s="4" t="inlineStr">
        <is>
          <t>Vanity 112-1/2"</t>
        </is>
      </c>
      <c r="C46" s="4" t="inlineStr">
        <is>
          <t>V27</t>
        </is>
      </c>
      <c r="D46" s="4" t="inlineStr">
        <is>
          <t>Vanity sink base 27"W</t>
        </is>
      </c>
      <c r="E46" s="4" t="n">
        <v>2</v>
      </c>
      <c r="F46" s="4" t="inlineStr">
        <is>
          <t>KCD Shaker White</t>
        </is>
      </c>
      <c r="G46" s="4" t="inlineStr">
        <is>
          <t>High</t>
        </is>
      </c>
      <c r="H46" s="4" t="inlineStr">
        <is>
          <t>UBS-04 sinks</t>
        </is>
      </c>
      <c r="I46" s="5" t="n"/>
      <c r="J46" s="5">
        <f>IF(I46="","",I46*E46)</f>
        <v/>
      </c>
      <c r="K46" s="5" t="n"/>
      <c r="L46" s="5">
        <f>IF(K46="","",K46*E46)</f>
        <v/>
      </c>
      <c r="M46" s="5" t="n"/>
      <c r="N46" s="5">
        <f>IF(M46="","",M46*E46)</f>
        <v/>
      </c>
    </row>
    <row r="47">
      <c r="A47" s="4" t="inlineStr">
        <is>
          <t>Primary Bath</t>
        </is>
      </c>
      <c r="B47" s="4" t="inlineStr">
        <is>
          <t>Vanity 112-1/2"</t>
        </is>
      </c>
      <c r="C47" s="4" t="inlineStr">
        <is>
          <t>VDB15</t>
        </is>
      </c>
      <c r="D47" s="4" t="inlineStr">
        <is>
          <t>Vanity drawer base 15"W</t>
        </is>
      </c>
      <c r="E47" s="4" t="n">
        <v>2</v>
      </c>
      <c r="F47" s="4" t="inlineStr">
        <is>
          <t>KCD Shaker White</t>
        </is>
      </c>
      <c r="G47" s="4" t="inlineStr">
        <is>
          <t>High</t>
        </is>
      </c>
      <c r="H47" s="4" t="inlineStr">
        <is>
          <t>Center pair</t>
        </is>
      </c>
      <c r="I47" s="5" t="n"/>
      <c r="J47" s="5">
        <f>IF(I47="","",I47*E47)</f>
        <v/>
      </c>
      <c r="K47" s="5" t="n"/>
      <c r="L47" s="5">
        <f>IF(K47="","",K47*E47)</f>
        <v/>
      </c>
      <c r="M47" s="5" t="n"/>
      <c r="N47" s="5">
        <f>IF(M47="","",M47*E47)</f>
        <v/>
      </c>
    </row>
    <row r="48">
      <c r="A48" s="4" t="inlineStr">
        <is>
          <t>Primary Bath</t>
        </is>
      </c>
      <c r="B48" s="4" t="inlineStr">
        <is>
          <t>Vanity 112-1/2"</t>
        </is>
      </c>
      <c r="C48" s="4" t="inlineStr">
        <is>
          <t>VB12-R</t>
        </is>
      </c>
      <c r="D48" s="4" t="inlineStr">
        <is>
          <t>Vanity base 12"W, hinge right</t>
        </is>
      </c>
      <c r="E48" s="4" t="n">
        <v>1</v>
      </c>
      <c r="F48" s="4" t="inlineStr">
        <is>
          <t>KCD Shaker White</t>
        </is>
      </c>
      <c r="G48" s="4" t="inlineStr">
        <is>
          <t>High</t>
        </is>
      </c>
      <c r="H48" s="4" t="inlineStr">
        <is>
          <t>Plan VB12 R</t>
        </is>
      </c>
      <c r="I48" s="5" t="n"/>
      <c r="J48" s="5">
        <f>IF(I48="","",I48*E48)</f>
        <v/>
      </c>
      <c r="K48" s="5" t="n"/>
      <c r="L48" s="5">
        <f>IF(K48="","",K48*E48)</f>
        <v/>
      </c>
      <c r="M48" s="5" t="n"/>
      <c r="N48" s="5">
        <f>IF(M48="","",M48*E48)</f>
        <v/>
      </c>
    </row>
    <row r="49">
      <c r="A49" s="4" t="inlineStr">
        <is>
          <t>Primary Bath</t>
        </is>
      </c>
      <c r="B49" s="4" t="inlineStr">
        <is>
          <t>Vanity 112-1/2"</t>
        </is>
      </c>
      <c r="C49" s="4" t="inlineStr">
        <is>
          <t>F396</t>
        </is>
      </c>
      <c r="D49" s="4" t="inlineStr">
        <is>
          <t>Filler 3"W x 96"</t>
        </is>
      </c>
      <c r="E49" s="4" t="n">
        <v>3</v>
      </c>
      <c r="F49" s="4" t="inlineStr">
        <is>
          <t>KCD Shaker White</t>
        </is>
      </c>
      <c r="G49" s="4" t="inlineStr">
        <is>
          <t>High</t>
        </is>
      </c>
      <c r="H49" s="4" t="inlineStr">
        <is>
          <t>Ends + center</t>
        </is>
      </c>
      <c r="I49" s="5" t="n"/>
      <c r="J49" s="5">
        <f>IF(I49="","",I49*E49)</f>
        <v/>
      </c>
      <c r="K49" s="5" t="n"/>
      <c r="L49" s="5">
        <f>IF(K49="","",K49*E49)</f>
        <v/>
      </c>
      <c r="M49" s="5" t="n"/>
      <c r="N49" s="5">
        <f>IF(M49="","",M49*E49)</f>
        <v/>
      </c>
    </row>
    <row r="50">
      <c r="A50" s="4" t="inlineStr">
        <is>
          <t>Primary Bath</t>
        </is>
      </c>
      <c r="B50" s="4" t="inlineStr">
        <is>
          <t>Vanity 112-1/2"</t>
        </is>
      </c>
      <c r="C50" s="6" t="inlineStr">
        <is>
          <t>Grooming roll-out</t>
        </is>
      </c>
      <c r="D50" s="4" t="inlineStr">
        <is>
          <t>Vanity grooming station roll-out 12" w/ power</t>
        </is>
      </c>
      <c r="E50" s="4" t="n">
        <v>2</v>
      </c>
      <c r="F50" s="4" t="inlineStr">
        <is>
          <t>KCD Shaker White</t>
        </is>
      </c>
      <c r="G50" s="6" t="inlineStr">
        <is>
          <t>Medium</t>
        </is>
      </c>
      <c r="H50" s="4" t="inlineStr">
        <is>
          <t>Spec sheet: Vanity Roll-Outs (x2), 12" w/power, Shaker White</t>
        </is>
      </c>
      <c r="I50" s="5" t="n"/>
      <c r="J50" s="5">
        <f>IF(I50="","",I50*E50)</f>
        <v/>
      </c>
      <c r="K50" s="5" t="n"/>
      <c r="L50" s="5">
        <f>IF(K50="","",K50*E50)</f>
        <v/>
      </c>
      <c r="M50" s="5" t="n"/>
      <c r="N50" s="5">
        <f>IF(M50="","",M50*E50)</f>
        <v/>
      </c>
    </row>
    <row r="51">
      <c r="A51" s="4" t="inlineStr">
        <is>
          <t>Bath 2 (Girls)</t>
        </is>
      </c>
      <c r="B51" s="4" t="inlineStr">
        <is>
          <t>Vanity 95-3/4"</t>
        </is>
      </c>
      <c r="C51" s="4" t="inlineStr">
        <is>
          <t>VDB12</t>
        </is>
      </c>
      <c r="D51" s="4" t="inlineStr">
        <is>
          <t>Vanity drawer base 12"W x 21"D</t>
        </is>
      </c>
      <c r="E51" s="4" t="n">
        <v>2</v>
      </c>
      <c r="F51" s="4" t="inlineStr">
        <is>
          <t>KCD Shaker White</t>
        </is>
      </c>
      <c r="G51" s="4" t="inlineStr">
        <is>
          <t>High</t>
        </is>
      </c>
      <c r="H51" s="4" t="inlineStr">
        <is>
          <t>Each end</t>
        </is>
      </c>
      <c r="I51" s="5" t="n"/>
      <c r="J51" s="5">
        <f>IF(I51="","",I51*E51)</f>
        <v/>
      </c>
      <c r="K51" s="5" t="n"/>
      <c r="L51" s="5">
        <f>IF(K51="","",K51*E51)</f>
        <v/>
      </c>
      <c r="M51" s="5" t="n"/>
      <c r="N51" s="5">
        <f>IF(M51="","",M51*E51)</f>
        <v/>
      </c>
    </row>
    <row r="52">
      <c r="A52" s="4" t="inlineStr">
        <is>
          <t>Bath 2 (Girls)</t>
        </is>
      </c>
      <c r="B52" s="4" t="inlineStr">
        <is>
          <t>Vanity 95-3/4"</t>
        </is>
      </c>
      <c r="C52" s="4" t="inlineStr">
        <is>
          <t>V24-2</t>
        </is>
      </c>
      <c r="D52" s="4" t="inlineStr">
        <is>
          <t>Vanity sink base 24"W x 21"D, 2 doors</t>
        </is>
      </c>
      <c r="E52" s="4" t="n">
        <v>2</v>
      </c>
      <c r="F52" s="4" t="inlineStr">
        <is>
          <t>KCD Shaker White</t>
        </is>
      </c>
      <c r="G52" s="4" t="inlineStr">
        <is>
          <t>High</t>
        </is>
      </c>
      <c r="H52" s="4" t="inlineStr">
        <is>
          <t>UBS-01 oval sinks</t>
        </is>
      </c>
      <c r="I52" s="5" t="n"/>
      <c r="J52" s="5">
        <f>IF(I52="","",I52*E52)</f>
        <v/>
      </c>
      <c r="K52" s="5" t="n"/>
      <c r="L52" s="5">
        <f>IF(K52="","",K52*E52)</f>
        <v/>
      </c>
      <c r="M52" s="5" t="n"/>
      <c r="N52" s="5">
        <f>IF(M52="","",M52*E52)</f>
        <v/>
      </c>
    </row>
    <row r="53">
      <c r="A53" s="4" t="inlineStr">
        <is>
          <t>Bath 2 (Girls)</t>
        </is>
      </c>
      <c r="B53" s="4" t="inlineStr">
        <is>
          <t>Vanity 95-3/4"</t>
        </is>
      </c>
      <c r="C53" s="4" t="inlineStr">
        <is>
          <t>VDB18</t>
        </is>
      </c>
      <c r="D53" s="4" t="inlineStr">
        <is>
          <t>Vanity drawer base 18"W x 21"D</t>
        </is>
      </c>
      <c r="E53" s="4" t="n">
        <v>1</v>
      </c>
      <c r="F53" s="4" t="inlineStr">
        <is>
          <t>KCD Shaker White</t>
        </is>
      </c>
      <c r="G53" s="4" t="inlineStr">
        <is>
          <t>High</t>
        </is>
      </c>
      <c r="H53" s="4" t="inlineStr">
        <is>
          <t>Center</t>
        </is>
      </c>
      <c r="I53" s="5" t="n"/>
      <c r="J53" s="5">
        <f>IF(I53="","",I53*E53)</f>
        <v/>
      </c>
      <c r="K53" s="5" t="n"/>
      <c r="L53" s="5">
        <f>IF(K53="","",K53*E53)</f>
        <v/>
      </c>
      <c r="M53" s="5" t="n"/>
      <c r="N53" s="5">
        <f>IF(M53="","",M53*E53)</f>
        <v/>
      </c>
    </row>
    <row r="54">
      <c r="A54" s="4" t="inlineStr">
        <is>
          <t>Bath 2 (Girls)</t>
        </is>
      </c>
      <c r="B54" s="4" t="inlineStr">
        <is>
          <t>Vanity 95-3/4"</t>
        </is>
      </c>
      <c r="C54" s="4" t="inlineStr">
        <is>
          <t>Filler 2"</t>
        </is>
      </c>
      <c r="D54" s="4" t="inlineStr">
        <is>
          <t>Filler 2" (F396 on plan)</t>
        </is>
      </c>
      <c r="E54" s="4" t="n">
        <v>1</v>
      </c>
      <c r="F54" s="4" t="inlineStr">
        <is>
          <t>KCD Shaker White</t>
        </is>
      </c>
      <c r="G54" s="4" t="inlineStr">
        <is>
          <t>High</t>
        </is>
      </c>
      <c r="H54" s="4" t="inlineStr">
        <is>
          <t>Left end</t>
        </is>
      </c>
      <c r="I54" s="5" t="n"/>
      <c r="J54" s="5">
        <f>IF(I54="","",I54*E54)</f>
        <v/>
      </c>
      <c r="K54" s="5" t="n"/>
      <c r="L54" s="5">
        <f>IF(K54="","",K54*E54)</f>
        <v/>
      </c>
      <c r="M54" s="5" t="n"/>
      <c r="N54" s="5">
        <f>IF(M54="","",M54*E54)</f>
        <v/>
      </c>
    </row>
    <row r="55">
      <c r="A55" s="4" t="inlineStr">
        <is>
          <t>Bath 2 (Girls)</t>
        </is>
      </c>
      <c r="B55" s="4" t="inlineStr">
        <is>
          <t>Linen</t>
        </is>
      </c>
      <c r="C55" s="6" t="inlineStr">
        <is>
          <t>Linen 17"W x 96"H</t>
        </is>
      </c>
      <c r="D55" s="4" t="inlineStr">
        <is>
          <t>Linen tower 17"W (15" door) x 96"H: base door 40-1/2" + open shelves above</t>
        </is>
      </c>
      <c r="E55" s="4" t="n">
        <v>1</v>
      </c>
      <c r="F55" s="4" t="inlineStr">
        <is>
          <t>KCD Shaker White</t>
        </is>
      </c>
      <c r="G55" s="6" t="inlineStr">
        <is>
          <t>Medium</t>
        </is>
      </c>
      <c r="H55" s="4" t="inlineStr">
        <is>
          <t>'Girls bath cabinet' elevation; confirm SKU</t>
        </is>
      </c>
      <c r="I55" s="5" t="n"/>
      <c r="J55" s="5">
        <f>IF(I55="","",I55*E55)</f>
        <v/>
      </c>
      <c r="K55" s="5" t="n"/>
      <c r="L55" s="5">
        <f>IF(K55="","",K55*E55)</f>
        <v/>
      </c>
      <c r="M55" s="5" t="n"/>
      <c r="N55" s="5">
        <f>IF(M55="","",M55*E55)</f>
        <v/>
      </c>
    </row>
    <row r="56">
      <c r="A56" s="4" t="inlineStr">
        <is>
          <t>Bath 3</t>
        </is>
      </c>
      <c r="B56" s="4" t="inlineStr">
        <is>
          <t>Vanity 48"</t>
        </is>
      </c>
      <c r="C56" s="6" t="inlineStr">
        <is>
          <t>V4821 (sink base 48")</t>
        </is>
      </c>
      <c r="D56" s="4" t="inlineStr">
        <is>
          <t>Vanity sink base 48"W x 21"D, 2 doors + false front + 2 side drawers</t>
        </is>
      </c>
      <c r="E56" s="4" t="n">
        <v>1</v>
      </c>
      <c r="F56" s="4" t="inlineStr">
        <is>
          <t>KCD Shaker White</t>
        </is>
      </c>
      <c r="G56" s="6" t="inlineStr">
        <is>
          <t>Medium</t>
        </is>
      </c>
      <c r="H56" s="4" t="inlineStr">
        <is>
          <t>Bath 3 elevation 48" + 4" filler</t>
        </is>
      </c>
      <c r="I56" s="5" t="n"/>
      <c r="J56" s="5">
        <f>IF(I56="","",I56*E56)</f>
        <v/>
      </c>
      <c r="K56" s="5" t="n"/>
      <c r="L56" s="5">
        <f>IF(K56="","",K56*E56)</f>
        <v/>
      </c>
      <c r="M56" s="5" t="n"/>
      <c r="N56" s="5">
        <f>IF(M56="","",M56*E56)</f>
        <v/>
      </c>
    </row>
    <row r="57">
      <c r="A57" s="4" t="inlineStr">
        <is>
          <t>Bath 3</t>
        </is>
      </c>
      <c r="B57" s="4" t="inlineStr">
        <is>
          <t>Vanity 48"</t>
        </is>
      </c>
      <c r="C57" s="4" t="inlineStr">
        <is>
          <t>Filler 4"</t>
        </is>
      </c>
      <c r="D57" s="4" t="inlineStr">
        <is>
          <t>Filler 4"</t>
        </is>
      </c>
      <c r="E57" s="4" t="n">
        <v>1</v>
      </c>
      <c r="F57" s="4" t="inlineStr">
        <is>
          <t>KCD Shaker White</t>
        </is>
      </c>
      <c r="G57" s="4" t="inlineStr">
        <is>
          <t>High</t>
        </is>
      </c>
      <c r="H57" s="4" t="inlineStr">
        <is>
          <t>Right side</t>
        </is>
      </c>
      <c r="I57" s="5" t="n"/>
      <c r="J57" s="5">
        <f>IF(I57="","",I57*E57)</f>
        <v/>
      </c>
      <c r="K57" s="5" t="n"/>
      <c r="L57" s="5">
        <f>IF(K57="","",K57*E57)</f>
        <v/>
      </c>
      <c r="M57" s="5" t="n"/>
      <c r="N57" s="5">
        <f>IF(M57="","",M57*E57)</f>
        <v/>
      </c>
    </row>
    <row r="58">
      <c r="A58" s="4" t="inlineStr">
        <is>
          <t>Bath 4</t>
        </is>
      </c>
      <c r="B58" s="4" t="inlineStr">
        <is>
          <t>-</t>
        </is>
      </c>
      <c r="C58" s="4" t="inlineStr">
        <is>
          <t>None</t>
        </is>
      </c>
      <c r="D58" s="4" t="inlineStr">
        <is>
          <t>Vitreous china console sink - no cabinet</t>
        </is>
      </c>
      <c r="E58" s="4" t="n">
        <v>0</v>
      </c>
      <c r="F58" s="4" t="inlineStr">
        <is>
          <t>N/A</t>
        </is>
      </c>
      <c r="G58" s="4" t="inlineStr">
        <is>
          <t>High</t>
        </is>
      </c>
      <c r="H58" s="4" t="inlineStr">
        <is>
          <t>No cabinetry</t>
        </is>
      </c>
      <c r="I58" s="5" t="n"/>
      <c r="J58" s="5">
        <f>IF(I58="","",I58*E58)</f>
        <v/>
      </c>
      <c r="K58" s="5" t="n"/>
      <c r="L58" s="5">
        <f>IF(K58="","",K58*E58)</f>
        <v/>
      </c>
      <c r="M58" s="5" t="n"/>
      <c r="N58" s="5">
        <f>IF(M58="","",M58*E58)</f>
        <v/>
      </c>
    </row>
    <row r="60">
      <c r="D60" s="8" t="inlineStr">
        <is>
          <t>SUBTOTALS BY ROOM</t>
        </is>
      </c>
    </row>
    <row r="61">
      <c r="D61" s="9" t="inlineStr">
        <is>
          <t>Kitchen</t>
        </is>
      </c>
      <c r="J61" s="10">
        <f>SUMIF($A$6:$A$58,"Kitchen",J6:J58)</f>
        <v/>
      </c>
      <c r="L61" s="10">
        <f>SUMIF($A$6:$A$58,"Kitchen",L6:L58)</f>
        <v/>
      </c>
      <c r="N61" s="10">
        <f>SUMIF($A$6:$A$58,"Kitchen",N6:N58)</f>
        <v/>
      </c>
    </row>
    <row r="62">
      <c r="D62" s="9" t="inlineStr">
        <is>
          <t>Pantry</t>
        </is>
      </c>
      <c r="J62" s="10">
        <f>SUMIF($A$6:$A$58,"Pantry",J6:J58)</f>
        <v/>
      </c>
      <c r="L62" s="10">
        <f>SUMIF($A$6:$A$58,"Pantry",L6:L58)</f>
        <v/>
      </c>
      <c r="N62" s="10">
        <f>SUMIF($A$6:$A$58,"Pantry",N6:N58)</f>
        <v/>
      </c>
    </row>
    <row r="63">
      <c r="D63" s="9" t="inlineStr">
        <is>
          <t>Primary Bath</t>
        </is>
      </c>
      <c r="J63" s="10">
        <f>SUMIF($A$6:$A$58,"Primary Bath",J6:J58)</f>
        <v/>
      </c>
      <c r="L63" s="10">
        <f>SUMIF($A$6:$A$58,"Primary Bath",L6:L58)</f>
        <v/>
      </c>
      <c r="N63" s="10">
        <f>SUMIF($A$6:$A$58,"Primary Bath",N6:N58)</f>
        <v/>
      </c>
    </row>
    <row r="64">
      <c r="D64" s="9" t="inlineStr">
        <is>
          <t>Bath 2 (Girls)</t>
        </is>
      </c>
      <c r="J64" s="10">
        <f>SUMIF($A$6:$A$58,"Bath 2 (Girls)",J6:J58)</f>
        <v/>
      </c>
      <c r="L64" s="10">
        <f>SUMIF($A$6:$A$58,"Bath 2 (Girls)",L6:L58)</f>
        <v/>
      </c>
      <c r="N64" s="10">
        <f>SUMIF($A$6:$A$58,"Bath 2 (Girls)",N6:N58)</f>
        <v/>
      </c>
    </row>
    <row r="65">
      <c r="D65" s="9" t="inlineStr">
        <is>
          <t>Bath 3</t>
        </is>
      </c>
      <c r="J65" s="10">
        <f>SUMIF($A$6:$A$58,"Bath 3",J6:J58)</f>
        <v/>
      </c>
      <c r="L65" s="10">
        <f>SUMIF($A$6:$A$58,"Bath 3",L6:L58)</f>
        <v/>
      </c>
      <c r="N65" s="10">
        <f>SUMIF($A$6:$A$58,"Bath 3",N6:N58)</f>
        <v/>
      </c>
    </row>
    <row r="66">
      <c r="D66" s="9" t="inlineStr">
        <is>
          <t>Bath 4</t>
        </is>
      </c>
      <c r="J66" s="10">
        <f>SUMIF($A$6:$A$58,"Bath 4",J6:J58)</f>
        <v/>
      </c>
      <c r="L66" s="10">
        <f>SUMIF($A$6:$A$58,"Bath 4",L6:L58)</f>
        <v/>
      </c>
      <c r="N66" s="10">
        <f>SUMIF($A$6:$A$58,"Bath 4",N6:N58)</f>
        <v/>
      </c>
    </row>
    <row r="67">
      <c r="D67" s="8" t="inlineStr">
        <is>
          <t>CABINET MATERIAL TOTAL</t>
        </is>
      </c>
      <c r="J67" s="11">
        <f>SUM(J6:J58)</f>
        <v/>
      </c>
      <c r="L67" s="11">
        <f>SUM(L6:L58)</f>
        <v/>
      </c>
      <c r="N67" s="11">
        <f>SUM(N6:N58)</f>
        <v/>
      </c>
    </row>
    <row r="68">
      <c r="D68" t="inlineStr">
        <is>
          <t>Freight / delivery</t>
        </is>
      </c>
      <c r="J68" s="12" t="n"/>
      <c r="L68" s="12" t="n"/>
      <c r="N68" s="12" t="n"/>
    </row>
    <row r="69">
      <c r="D69" t="inlineStr">
        <is>
          <t>Assembly (if RTA)</t>
        </is>
      </c>
      <c r="J69" s="12" t="n"/>
      <c r="L69" s="12" t="n"/>
      <c r="N69" s="12" t="n"/>
    </row>
    <row r="70">
      <c r="D70" t="inlineStr">
        <is>
          <t>Sales tax</t>
        </is>
      </c>
      <c r="J70" s="12" t="n"/>
      <c r="L70" s="12" t="n"/>
      <c r="N70" s="12" t="n"/>
    </row>
    <row r="71">
      <c r="D71" s="13" t="inlineStr">
        <is>
          <t>GRAND TOTAL</t>
        </is>
      </c>
      <c r="J71" s="14">
        <f>SUM(J67:J70)</f>
        <v/>
      </c>
      <c r="L71" s="14">
        <f>SUM(L67:L70)</f>
        <v/>
      </c>
      <c r="N71" s="14">
        <f>SUM(N67:N70)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CHECK BEFORE SENDING / ORDERING</t>
        </is>
      </c>
    </row>
    <row r="3">
      <c r="A3" t="inlineStr">
        <is>
          <t>1.</t>
        </is>
      </c>
      <c r="B3" s="15" t="inlineStr">
        <is>
          <t>Bishop order C518332-1 was confirmed 9/4/26 as a 'draper PO' and the spec sheet lists the kitchen as Bishop (perimeter inset, island frameless). Confirm what that order covers so it isn't quoted twice.</t>
        </is>
      </c>
    </row>
    <row r="4">
      <c r="A4" t="inlineStr">
        <is>
          <t>2.</t>
        </is>
      </c>
      <c r="B4" s="15" t="inlineStr">
        <is>
          <t>Buildertrend PO WORL8794PBD-0004 'Draper Vanities' already exists (completion 10/5/26). Confirm whether the bath vanities are already purchased.</t>
        </is>
      </c>
    </row>
    <row r="5">
      <c r="A5" t="inlineStr">
        <is>
          <t>3.</t>
        </is>
      </c>
      <c r="B5" s="15" t="inlineStr">
        <is>
          <t>Kitchen door style conflict: the PDF shows Sun Valley Alabaster (perimeter) / Sun Valley Maple Brownie (island). The spec sheet shows Bishop Alabaster inset. Which line is being quoted?</t>
        </is>
      </c>
    </row>
    <row r="6">
      <c r="A6" t="inlineStr">
        <is>
          <t>4.</t>
        </is>
      </c>
      <c r="B6" s="15" t="inlineStr">
        <is>
          <t>The kitchen oven/refrigerator/tall-pantry wall is in the renders but not in the PDF floor plan. Ask the plan designer (Isabela) for that elevation or the full cabinet list/report.</t>
        </is>
      </c>
    </row>
    <row r="7">
      <c r="A7" t="inlineStr">
        <is>
          <t>5.</t>
        </is>
      </c>
      <c r="B7" s="15" t="inlineStr">
        <is>
          <t>Several kitchen plan labels are overlapped or cut off in the PDF (ANT4248, WS3642, WS3636, 18-RV18PB, W2_18). Get the cabinet report from the design software for exact SKUs.</t>
        </is>
      </c>
    </row>
    <row r="8">
      <c r="A8" t="inlineStr">
        <is>
          <t>6.</t>
        </is>
      </c>
      <c r="B8" s="15" t="inlineStr">
        <is>
          <t>Pantry hardware is owner provided per spec sheet - excluded.</t>
        </is>
      </c>
    </row>
    <row r="9">
      <c r="A9" t="inlineStr">
        <is>
          <t>7.</t>
        </is>
      </c>
      <c r="B9" s="15" t="inlineStr">
        <is>
          <t>Primary vanity grooming roll-outs (x2, 12" w/ power) come from the spec sheet, not the PDF - confirm they're still wanted.</t>
        </is>
      </c>
    </row>
    <row r="10">
      <c r="A10" t="inlineStr">
        <is>
          <t>8.</t>
        </is>
      </c>
      <c r="B10" s="15" t="inlineStr">
        <is>
          <t>Pantry open shelf count and the tall-upper heights need confirmation from the Pantry Door Wall / Sink Wall elevations.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2026-10-09T00:25:31Z</dcterms:created>
  <dcterms:modified xmlns:dcterms="http://purl.org/dc/terms/" xmlns:xsi="http://www.w3.org/2001/XMLSchema-instance" xsi:type="dcterms:W3CDTF">2026-10-09T00:25:31Z</dcterms:modified>
</cp:coreProperties>
</file>